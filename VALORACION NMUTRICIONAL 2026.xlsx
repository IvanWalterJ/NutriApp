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1e40e47aad33b7/Desktop/"/>
    </mc:Choice>
  </mc:AlternateContent>
  <xr:revisionPtr revIDLastSave="0" documentId="8_{7358DD0B-B64A-4B09-A917-83DF6FA46F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D18" i="1" s="1"/>
  <c r="D21" i="1" s="1"/>
  <c r="I5" i="1"/>
  <c r="D19" i="1" s="1"/>
  <c r="D22" i="1" s="1"/>
  <c r="B11" i="1"/>
  <c r="D16" i="1" s="1"/>
  <c r="E10" i="1"/>
  <c r="I10" i="1" s="1"/>
  <c r="D10" i="1"/>
  <c r="H10" i="1" s="1"/>
</calcChain>
</file>

<file path=xl/sharedStrings.xml><?xml version="1.0" encoding="utf-8"?>
<sst xmlns="http://schemas.openxmlformats.org/spreadsheetml/2006/main" count="30" uniqueCount="30">
  <si>
    <t>Mujer</t>
  </si>
  <si>
    <t>Altura (cm)</t>
  </si>
  <si>
    <t>Peso Ideal</t>
  </si>
  <si>
    <t>Peso ideal</t>
  </si>
  <si>
    <t>hombre</t>
  </si>
  <si>
    <t>Altura(cm)</t>
  </si>
  <si>
    <t>Edad</t>
  </si>
  <si>
    <t>Talla</t>
  </si>
  <si>
    <t>Peso</t>
  </si>
  <si>
    <t>FA</t>
  </si>
  <si>
    <t>GMR hombre</t>
  </si>
  <si>
    <t>GMR Mujer</t>
  </si>
  <si>
    <t>FA Hombre</t>
  </si>
  <si>
    <t>FA Mujer</t>
  </si>
  <si>
    <t>GMT Hombre</t>
  </si>
  <si>
    <t>GMT Mujer</t>
  </si>
  <si>
    <t>muy leve:1,3</t>
  </si>
  <si>
    <t>leve: H: 1,6</t>
  </si>
  <si>
    <t>m:1,5</t>
  </si>
  <si>
    <t>mod:H:1,7</t>
  </si>
  <si>
    <t>M:1,6</t>
  </si>
  <si>
    <t>intensa:H:2,1</t>
  </si>
  <si>
    <t>M:1,9</t>
  </si>
  <si>
    <t xml:space="preserve">IMC: </t>
  </si>
  <si>
    <t>PIC Hombre</t>
  </si>
  <si>
    <t>PIC Mujer</t>
  </si>
  <si>
    <t>VCT Knox Hom</t>
  </si>
  <si>
    <t>VCT Knox Muj</t>
  </si>
  <si>
    <t>Sexo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</si>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</sst>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E13" sqref="E13"/>
    </sheetView>
  </sheetViews>
  <sheetFormatPr baseColWidth="10" defaultRowHeight="14.4" x14ac:dyDescent="0.3"/>
  <cols>
    <col min="3" max="3" width="14.109375" customWidth="1"/>
    <col min="4" max="4" width="12.5546875" bestFit="1" customWidth="1"/>
    <col min="5" max="5" width="12.5546875" customWidth="1"/>
    <col min="8" max="8" width="13.6640625" customWidth="1"/>
  </cols>
  <sheetData>
    <row r="1" spans="1:12" x14ac:dyDescent="0.3">
      <c r="H1" t="s">
        <v>0</v>
      </c>
      <c r="L1" t="s">
        <v>4</v>
      </c>
    </row>
    <row r="3" spans="1:12" x14ac:dyDescent="0.3">
      <c r="K3" t="s">
        <v>5</v>
      </c>
      <c r="L3" t="s">
        <v>3</v>
      </c>
    </row>
    <row r="4" spans="1:12" x14ac:dyDescent="0.3">
      <c r="H4" t="s">
        <v>1</v>
      </c>
      <c r="I4" t="s">
        <v>2</v>
      </c>
      <c r="K4">
        <v>172</v>
      </c>
      <c r="L4">
        <f>47.7+(K4-150)*2.72/2.5</f>
        <v>71.635999999999996</v>
      </c>
    </row>
    <row r="5" spans="1:12" x14ac:dyDescent="0.3">
      <c r="H5">
        <v>155</v>
      </c>
      <c r="I5">
        <f>45.5+((H5-150)*2.27)/2.5</f>
        <v>50.04</v>
      </c>
    </row>
    <row r="7" spans="1:12" x14ac:dyDescent="0.3">
      <c r="A7" t="s">
        <v>28</v>
      </c>
    </row>
    <row r="8" spans="1:12" x14ac:dyDescent="0.3">
      <c r="A8" t="s">
        <v>29</v>
      </c>
    </row>
    <row r="9" spans="1:12" x14ac:dyDescent="0.3">
      <c r="A9" t="s">
        <v>6</v>
      </c>
      <c r="B9" t="s">
        <v>7</v>
      </c>
      <c r="C9" t="s">
        <v>8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K9" t="s">
        <v>9</v>
      </c>
    </row>
    <row r="10" spans="1:12" x14ac:dyDescent="0.3">
      <c r="A10">
        <v>38</v>
      </c>
      <c r="B10">
        <v>172</v>
      </c>
      <c r="C10">
        <v>82</v>
      </c>
      <c r="D10">
        <f>66+13.7*C10+5*B10-6.8*A10</f>
        <v>1790.9999999999995</v>
      </c>
      <c r="E10">
        <f>655+9.7*C10+1.8*B10-4.7*A10</f>
        <v>1581.4</v>
      </c>
      <c r="F10">
        <v>1.7</v>
      </c>
      <c r="G10">
        <v>1.6</v>
      </c>
      <c r="H10">
        <f>D10*F10</f>
        <v>3044.6999999999994</v>
      </c>
      <c r="I10">
        <f>E10*G10</f>
        <v>2530.2400000000002</v>
      </c>
      <c r="K10" t="s">
        <v>16</v>
      </c>
    </row>
    <row r="11" spans="1:12" x14ac:dyDescent="0.3">
      <c r="B11">
        <f>B10/100</f>
        <v>1.72</v>
      </c>
      <c r="K11" t="s">
        <v>17</v>
      </c>
    </row>
    <row r="12" spans="1:12" x14ac:dyDescent="0.3">
      <c r="K12" t="s">
        <v>18</v>
      </c>
    </row>
    <row r="13" spans="1:12" x14ac:dyDescent="0.3">
      <c r="K13" t="s">
        <v>19</v>
      </c>
    </row>
    <row r="14" spans="1:12" x14ac:dyDescent="0.3">
      <c r="K14" t="s">
        <v>20</v>
      </c>
    </row>
    <row r="15" spans="1:12" x14ac:dyDescent="0.3">
      <c r="K15" t="s">
        <v>21</v>
      </c>
    </row>
    <row r="16" spans="1:12" x14ac:dyDescent="0.3">
      <c r="C16" t="s">
        <v>23</v>
      </c>
      <c r="D16">
        <f>C10/(B11*B11)</f>
        <v>27.717685235262305</v>
      </c>
      <c r="K16" t="s">
        <v>22</v>
      </c>
    </row>
    <row r="18" spans="3:4" x14ac:dyDescent="0.3">
      <c r="C18" t="s">
        <v>24</v>
      </c>
      <c r="D18">
        <f>(C10-L4)*0.25+L4</f>
        <v>74.227000000000004</v>
      </c>
    </row>
    <row r="19" spans="3:4" x14ac:dyDescent="0.3">
      <c r="C19" t="s">
        <v>25</v>
      </c>
      <c r="D19">
        <f>(C10-I5)*0.25+I5</f>
        <v>58.03</v>
      </c>
    </row>
    <row r="21" spans="3:4" x14ac:dyDescent="0.3">
      <c r="C21" t="s">
        <v>26</v>
      </c>
      <c r="D21">
        <f>D18*22</f>
        <v>1632.9940000000001</v>
      </c>
    </row>
    <row r="22" spans="3:4" x14ac:dyDescent="0.3">
      <c r="C22" t="s">
        <v>27</v>
      </c>
      <c r="D22">
        <f>D19*22</f>
        <v>1276.6600000000001</v>
      </c>
    </row>
  </sheetData>
  <conditionalFormatting sqref="D19">
    <cfRule type="expression" dxfId="3" priority="1">
      <formula>$A$8="M"</formula>
    </cfRule>
  </conditionalFormatting>
  <conditionalFormatting sqref="H5:I5 E10 G10 I10">
    <cfRule type="expression" dxfId="2" priority="4">
      <formula>$A$8="M"</formula>
    </cfRule>
  </conditionalFormatting>
  <conditionalFormatting sqref="K12 K14 K16">
    <cfRule type="expression" dxfId="1" priority="3">
      <formula>$A$8="M"</formula>
    </cfRule>
  </conditionalFormatting>
  <conditionalFormatting sqref="K4:L4 D10 F10 H10 K11 K13 K15 D18">
    <cfRule type="expression" dxfId="0" priority="2">
      <formula>$A$8="H"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</dc:creator>
  <cp:lastModifiedBy>Lic Rosana Roldán</cp:lastModifiedBy>
  <dcterms:created xsi:type="dcterms:W3CDTF">2013-06-17T17:06:08Z</dcterms:created>
  <dcterms:modified xsi:type="dcterms:W3CDTF">2026-03-20T14:52:35Z</dcterms:modified>
</cp:coreProperties>
</file>